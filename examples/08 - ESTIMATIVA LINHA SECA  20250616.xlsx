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I:\130 - ORÇAMENTOS DE FRETES\030 - ESTIMATIVAS DE CARGA\"/>
    </mc:Choice>
  </mc:AlternateContent>
  <xr:revisionPtr revIDLastSave="0" documentId="13_ncr:1_{F6F593FD-6963-401F-A25D-E624E7192C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imativa" sheetId="1" r:id="rId1"/>
    <sheet name="Fatores de Ajuste" sheetId="2" r:id="rId2"/>
    <sheet name="Validaçõ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L14" i="1"/>
  <c r="L13" i="1"/>
  <c r="L12" i="1"/>
  <c r="L11" i="1"/>
  <c r="L10" i="1"/>
  <c r="K32" i="1"/>
  <c r="K31" i="1"/>
  <c r="K30" i="1"/>
  <c r="L30" i="1" s="1"/>
  <c r="K29" i="1"/>
  <c r="K28" i="1"/>
  <c r="K27" i="1"/>
  <c r="K26" i="1"/>
  <c r="K25" i="1"/>
  <c r="K24" i="1"/>
  <c r="F24" i="1" l="1"/>
  <c r="L36" i="1" l="1"/>
  <c r="L35" i="1"/>
  <c r="L34" i="1"/>
  <c r="L33" i="1"/>
  <c r="L32" i="1"/>
  <c r="L31" i="1"/>
  <c r="L29" i="1"/>
  <c r="L28" i="1"/>
  <c r="L27" i="1"/>
  <c r="L26" i="1"/>
  <c r="L25" i="1"/>
  <c r="L24" i="1"/>
  <c r="L23" i="1"/>
  <c r="L22" i="1"/>
  <c r="L15" i="1"/>
  <c r="L17" i="1" s="1"/>
  <c r="L38" i="1" l="1"/>
  <c r="L39" i="1" s="1"/>
  <c r="F25" i="1"/>
  <c r="F12" i="1"/>
  <c r="R26" i="3" l="1"/>
  <c r="R28" i="3" s="1"/>
  <c r="R29" i="3" s="1"/>
  <c r="R21" i="3"/>
  <c r="R20" i="3"/>
  <c r="R15" i="3"/>
  <c r="R14" i="3"/>
  <c r="R13" i="3"/>
  <c r="R12" i="3"/>
  <c r="R11" i="3"/>
  <c r="R10" i="3"/>
  <c r="R9" i="3"/>
  <c r="R8" i="3"/>
  <c r="Q7" i="3"/>
  <c r="R7" i="3" s="1"/>
  <c r="Q6" i="3"/>
  <c r="R6" i="3" s="1"/>
  <c r="R5" i="3"/>
  <c r="R4" i="3"/>
  <c r="R3" i="3"/>
  <c r="F23" i="1"/>
  <c r="L15" i="3"/>
  <c r="L14" i="3"/>
  <c r="L13" i="3"/>
  <c r="L12" i="3"/>
  <c r="L11" i="3"/>
  <c r="L10" i="3"/>
  <c r="L9" i="3"/>
  <c r="L8" i="3"/>
  <c r="K7" i="3"/>
  <c r="L7" i="3" s="1"/>
  <c r="K6" i="3"/>
  <c r="L6" i="3" s="1"/>
  <c r="L5" i="3"/>
  <c r="L4" i="3"/>
  <c r="L3" i="3"/>
  <c r="F8" i="1"/>
  <c r="F21" i="3"/>
  <c r="F20" i="3"/>
  <c r="F23" i="3" s="1"/>
  <c r="F24" i="3" s="1"/>
  <c r="F15" i="3"/>
  <c r="F14" i="3"/>
  <c r="F13" i="3"/>
  <c r="F12" i="3"/>
  <c r="F11" i="3"/>
  <c r="F10" i="3"/>
  <c r="F9" i="3"/>
  <c r="E7" i="3"/>
  <c r="F7" i="3" s="1"/>
  <c r="E6" i="3"/>
  <c r="F6" i="3" s="1"/>
  <c r="F5" i="3"/>
  <c r="F4" i="3"/>
  <c r="F3" i="3"/>
  <c r="F11" i="1"/>
  <c r="E7" i="1"/>
  <c r="F7" i="1" s="1"/>
  <c r="F16" i="1"/>
  <c r="F15" i="1"/>
  <c r="F14" i="1"/>
  <c r="F13" i="1"/>
  <c r="F10" i="1"/>
  <c r="F9" i="1"/>
  <c r="F5" i="1"/>
  <c r="F4" i="1"/>
  <c r="F3" i="1"/>
  <c r="L18" i="1"/>
  <c r="E6" i="1"/>
  <c r="F6" i="1" s="1"/>
  <c r="L3" i="1"/>
  <c r="L5" i="1" s="1"/>
  <c r="L6" i="1" s="1"/>
  <c r="F22" i="1"/>
  <c r="F27" i="1" l="1"/>
  <c r="F28" i="1" s="1"/>
  <c r="R17" i="3"/>
  <c r="R18" i="3" s="1"/>
  <c r="R23" i="3"/>
  <c r="R24" i="3" s="1"/>
  <c r="F17" i="3"/>
  <c r="F18" i="3" s="1"/>
  <c r="L17" i="3"/>
  <c r="L18" i="3" s="1"/>
  <c r="F18" i="1"/>
  <c r="F19" i="1" s="1"/>
  <c r="R2" i="1" l="1"/>
  <c r="R3" i="1" l="1"/>
  <c r="R4" i="1" s="1"/>
  <c r="T2" i="1"/>
  <c r="T3" i="1" s="1"/>
  <c r="R5" i="1" l="1"/>
  <c r="T5" i="1"/>
  <c r="T8" i="1" s="1"/>
  <c r="T4" i="1"/>
</calcChain>
</file>

<file path=xl/sharedStrings.xml><?xml version="1.0" encoding="utf-8"?>
<sst xmlns="http://schemas.openxmlformats.org/spreadsheetml/2006/main" count="186" uniqueCount="77">
  <si>
    <t>PICKBOX GRANDE</t>
  </si>
  <si>
    <t>MONTANTE RACK SLIM</t>
  </si>
  <si>
    <t>OUTROS</t>
  </si>
  <si>
    <t>Qtd</t>
  </si>
  <si>
    <t>Qtd/m3</t>
  </si>
  <si>
    <t>Vol (m3)</t>
  </si>
  <si>
    <t>CONJUNTO FUNDO</t>
  </si>
  <si>
    <t>APARADOR ACRÍLICO</t>
  </si>
  <si>
    <t>CONJUNTO GANCHO</t>
  </si>
  <si>
    <t>PODIUM</t>
  </si>
  <si>
    <t>REGUA</t>
  </si>
  <si>
    <t>CHECKOUTS</t>
  </si>
  <si>
    <t>ITEM</t>
  </si>
  <si>
    <t>TOTAL</t>
  </si>
  <si>
    <t>TOTAL AJUSTADO</t>
  </si>
  <si>
    <t>GÔNDOLAS</t>
  </si>
  <si>
    <t>MOBILIAS</t>
  </si>
  <si>
    <t>RACK SLIM</t>
  </si>
  <si>
    <t>BASE</t>
  </si>
  <si>
    <t>COLUNA</t>
  </si>
  <si>
    <t>LSG</t>
  </si>
  <si>
    <t>MOBÍLIAS</t>
  </si>
  <si>
    <t>Fatores de Reajuste das Peças</t>
  </si>
  <si>
    <r>
      <t>CHECKSTAND 500X</t>
    </r>
    <r>
      <rPr>
        <b/>
        <sz val="11"/>
        <color rgb="FFFF0000"/>
        <rFont val="Calibri"/>
        <family val="2"/>
        <scheme val="minor"/>
      </rPr>
      <t>1715X1250</t>
    </r>
  </si>
  <si>
    <r>
      <t>CHECKSTAND 500X</t>
    </r>
    <r>
      <rPr>
        <b/>
        <sz val="11"/>
        <color rgb="FFFF0000"/>
        <rFont val="Calibri"/>
        <family val="2"/>
        <scheme val="minor"/>
      </rPr>
      <t>750X1250</t>
    </r>
  </si>
  <si>
    <t>5307224-3</t>
  </si>
  <si>
    <t>MÊS</t>
  </si>
  <si>
    <t>180m3</t>
  </si>
  <si>
    <t>PORTA ETIQUETAS COMPRIDOS</t>
  </si>
  <si>
    <t>PRATELEIRAS 200MM</t>
  </si>
  <si>
    <t>PRATELEIRAS 400MM</t>
  </si>
  <si>
    <t>PAINEL COMUM</t>
  </si>
  <si>
    <t>PAINEL MF</t>
  </si>
  <si>
    <t>130M3</t>
  </si>
  <si>
    <t>5109124-5</t>
  </si>
  <si>
    <r>
      <t>CHECKSTAND 500X</t>
    </r>
    <r>
      <rPr>
        <b/>
        <sz val="11"/>
        <color rgb="FFFF0000"/>
        <rFont val="Calibri"/>
        <family val="2"/>
        <scheme val="minor"/>
      </rPr>
      <t>1715X1150</t>
    </r>
  </si>
  <si>
    <t>12207924-3</t>
  </si>
  <si>
    <t>113M2</t>
  </si>
  <si>
    <r>
      <t>CHECKSTAND 500X</t>
    </r>
    <r>
      <rPr>
        <b/>
        <sz val="11"/>
        <color rgb="FFFF0000"/>
        <rFont val="Calibri"/>
        <family val="2"/>
        <scheme val="minor"/>
      </rPr>
      <t>1280X1150</t>
    </r>
  </si>
  <si>
    <t>VOLUME TOTAL (M3)</t>
  </si>
  <si>
    <t>PRATELEIRAS 500MM</t>
  </si>
  <si>
    <t>PRATELEIRAS 800MM</t>
  </si>
  <si>
    <t>PICKBOX GRANDE / CESTO</t>
  </si>
  <si>
    <t>SELF CHECK OUTS</t>
  </si>
  <si>
    <t>LONGARINAS</t>
  </si>
  <si>
    <t>LUMINÁRIAS</t>
  </si>
  <si>
    <t>MONTANTE 1M</t>
  </si>
  <si>
    <t>MONTANTE 2M</t>
  </si>
  <si>
    <t>MONTANTE 3M</t>
  </si>
  <si>
    <t>MONTANTE 4M</t>
  </si>
  <si>
    <t>MONTANTE 6M</t>
  </si>
  <si>
    <t>MONTANTE 8M</t>
  </si>
  <si>
    <t>PORTA PALLETS</t>
  </si>
  <si>
    <t>MONTANTE 10M</t>
  </si>
  <si>
    <t>MONTANTE 12M</t>
  </si>
  <si>
    <t>PAINEL RI</t>
  </si>
  <si>
    <t>PRATELEIRAS DD</t>
  </si>
  <si>
    <t>PRATELEIRA MDF</t>
  </si>
  <si>
    <t>PROTETOR DE COLUNA</t>
  </si>
  <si>
    <t>MTS DE CARROCERIA</t>
  </si>
  <si>
    <t>MTS DE CARROCERIA +10% (NVIA)</t>
  </si>
  <si>
    <t>MTS DE CARROCERIA +20% (VENDA)</t>
  </si>
  <si>
    <t>MONTANTE 9M</t>
  </si>
  <si>
    <t>MONT/DESM.</t>
  </si>
  <si>
    <t>Lista de Montantes</t>
  </si>
  <si>
    <t>MONTADOS</t>
  </si>
  <si>
    <t>DESMONTADOS</t>
  </si>
  <si>
    <r>
      <t xml:space="preserve">PRATELEIRA         </t>
    </r>
    <r>
      <rPr>
        <b/>
        <sz val="11"/>
        <color rgb="FFFF0000"/>
        <rFont val="Calibri"/>
        <family val="2"/>
        <scheme val="minor"/>
      </rPr>
      <t xml:space="preserve">250x500x100 </t>
    </r>
  </si>
  <si>
    <r>
      <t xml:space="preserve">TABLADO                 </t>
    </r>
    <r>
      <rPr>
        <b/>
        <sz val="11"/>
        <color rgb="FFFF0000"/>
        <rFont val="Calibri"/>
        <family val="2"/>
        <scheme val="minor"/>
      </rPr>
      <t>1000X1200</t>
    </r>
  </si>
  <si>
    <t>CHECK OUT 2000</t>
  </si>
  <si>
    <t>CHECK OUT 2400</t>
  </si>
  <si>
    <t>CHECK OUT 2800</t>
  </si>
  <si>
    <t>CHECK OUT 3200</t>
  </si>
  <si>
    <t>CHECK OUT 3600</t>
  </si>
  <si>
    <t>CHECK OUT 4200</t>
  </si>
  <si>
    <t>Caminhão</t>
  </si>
  <si>
    <t>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</si>
</sst>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right"/>
    </xf>
    <xf numFmtId="0" fontId="0" fillId="4" borderId="1" xfId="0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2" fillId="3" borderId="0" xfId="0" applyFont="1" applyFill="1" applyAlignment="1">
      <alignment horizontal="right"/>
    </xf>
    <xf numFmtId="0" fontId="4" fillId="4" borderId="0" xfId="0" applyFont="1" applyFill="1"/>
    <xf numFmtId="0" fontId="2" fillId="3" borderId="7" xfId="0" applyFont="1" applyFill="1" applyBorder="1" applyAlignment="1">
      <alignment horizontal="right"/>
    </xf>
    <xf numFmtId="0" fontId="4" fillId="4" borderId="7" xfId="0" applyFont="1" applyFill="1" applyBorder="1"/>
    <xf numFmtId="164" fontId="4" fillId="4" borderId="8" xfId="0" applyNumberFormat="1" applyFont="1" applyFill="1" applyBorder="1"/>
    <xf numFmtId="164" fontId="4" fillId="4" borderId="9" xfId="0" applyNumberFormat="1" applyFont="1" applyFill="1" applyBorder="1"/>
    <xf numFmtId="0" fontId="3" fillId="4" borderId="6" xfId="0" applyFont="1" applyFill="1" applyBorder="1"/>
    <xf numFmtId="0" fontId="3" fillId="4" borderId="4" xfId="0" applyFont="1" applyFill="1" applyBorder="1"/>
    <xf numFmtId="0" fontId="3" fillId="4" borderId="1" xfId="0" applyFont="1" applyFill="1" applyBorder="1"/>
    <xf numFmtId="0" fontId="6" fillId="0" borderId="0" xfId="0" applyFont="1"/>
    <xf numFmtId="0" fontId="6" fillId="4" borderId="2" xfId="0" applyFont="1" applyFill="1" applyBorder="1"/>
    <xf numFmtId="0" fontId="6" fillId="4" borderId="4" xfId="0" applyFont="1" applyFill="1" applyBorder="1"/>
    <xf numFmtId="0" fontId="6" fillId="4" borderId="3" xfId="0" applyFont="1" applyFill="1" applyBorder="1"/>
    <xf numFmtId="0" fontId="6" fillId="4" borderId="10" xfId="0" applyFont="1" applyFill="1" applyBorder="1"/>
    <xf numFmtId="0" fontId="2" fillId="3" borderId="9" xfId="0" applyFont="1" applyFill="1" applyBorder="1" applyAlignment="1">
      <alignment horizontal="right"/>
    </xf>
    <xf numFmtId="0" fontId="5" fillId="4" borderId="6" xfId="0" applyFont="1" applyFill="1" applyBorder="1"/>
    <xf numFmtId="0" fontId="5" fillId="4" borderId="7" xfId="0" applyFont="1" applyFill="1" applyBorder="1" applyAlignment="1">
      <alignment horizontal="right"/>
    </xf>
    <xf numFmtId="0" fontId="5" fillId="4" borderId="7" xfId="0" applyFont="1" applyFill="1" applyBorder="1"/>
    <xf numFmtId="164" fontId="5" fillId="4" borderId="8" xfId="0" applyNumberFormat="1" applyFont="1" applyFill="1" applyBorder="1"/>
    <xf numFmtId="0" fontId="5" fillId="4" borderId="10" xfId="0" applyFont="1" applyFill="1" applyBorder="1"/>
    <xf numFmtId="0" fontId="5" fillId="4" borderId="11" xfId="0" applyFont="1" applyFill="1" applyBorder="1" applyAlignment="1">
      <alignment horizontal="right"/>
    </xf>
    <xf numFmtId="0" fontId="5" fillId="4" borderId="11" xfId="0" applyFont="1" applyFill="1" applyBorder="1"/>
    <xf numFmtId="164" fontId="5" fillId="4" borderId="5" xfId="0" applyNumberFormat="1" applyFont="1" applyFill="1" applyBorder="1"/>
    <xf numFmtId="9" fontId="0" fillId="0" borderId="0" xfId="0" applyNumberFormat="1"/>
    <xf numFmtId="0" fontId="6" fillId="4" borderId="12" xfId="0" applyFont="1" applyFill="1" applyBorder="1"/>
    <xf numFmtId="0" fontId="6" fillId="4" borderId="6" xfId="0" applyFont="1" applyFill="1" applyBorder="1"/>
    <xf numFmtId="0" fontId="0" fillId="4" borderId="4" xfId="0" applyFill="1" applyBorder="1"/>
    <xf numFmtId="0" fontId="5" fillId="4" borderId="4" xfId="0" applyFont="1" applyFill="1" applyBorder="1"/>
    <xf numFmtId="0" fontId="5" fillId="4" borderId="0" xfId="0" applyFont="1" applyFill="1" applyAlignment="1">
      <alignment horizontal="right"/>
    </xf>
    <xf numFmtId="0" fontId="5" fillId="4" borderId="0" xfId="0" applyFont="1" applyFill="1"/>
    <xf numFmtId="164" fontId="5" fillId="4" borderId="9" xfId="0" applyNumberFormat="1" applyFont="1" applyFill="1" applyBorder="1"/>
    <xf numFmtId="164" fontId="4" fillId="4" borderId="0" xfId="0" applyNumberFormat="1" applyFont="1" applyFill="1"/>
    <xf numFmtId="0" fontId="3" fillId="4" borderId="10" xfId="0" applyFont="1" applyFill="1" applyBorder="1"/>
    <xf numFmtId="0" fontId="4" fillId="4" borderId="11" xfId="0" applyFont="1" applyFill="1" applyBorder="1"/>
    <xf numFmtId="0" fontId="2" fillId="3" borderId="5" xfId="0" applyFont="1" applyFill="1" applyBorder="1" applyAlignment="1">
      <alignment horizontal="right"/>
    </xf>
    <xf numFmtId="0" fontId="9" fillId="2" borderId="6" xfId="0" applyFont="1" applyFill="1" applyBorder="1"/>
    <xf numFmtId="164" fontId="9" fillId="2" borderId="8" xfId="0" applyNumberFormat="1" applyFont="1" applyFill="1" applyBorder="1"/>
    <xf numFmtId="0" fontId="9" fillId="2" borderId="4" xfId="0" applyFont="1" applyFill="1" applyBorder="1"/>
    <xf numFmtId="164" fontId="9" fillId="2" borderId="9" xfId="0" applyNumberFormat="1" applyFont="1" applyFill="1" applyBorder="1"/>
    <xf numFmtId="0" fontId="10" fillId="2" borderId="10" xfId="0" applyFont="1" applyFill="1" applyBorder="1"/>
    <xf numFmtId="164" fontId="10" fillId="2" borderId="5" xfId="0" applyNumberFormat="1" applyFont="1" applyFill="1" applyBorder="1"/>
    <xf numFmtId="0" fontId="8" fillId="2" borderId="10" xfId="0" applyFont="1" applyFill="1" applyBorder="1"/>
    <xf numFmtId="164" fontId="8" fillId="2" borderId="5" xfId="0" applyNumberFormat="1" applyFont="1" applyFill="1" applyBorder="1"/>
    <xf numFmtId="2" fontId="4" fillId="4" borderId="0" xfId="0" applyNumberFormat="1" applyFont="1" applyFill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right"/>
    </xf>
    <xf numFmtId="0" fontId="11" fillId="6" borderId="0" xfId="0" applyFont="1" applyFill="1"/>
    <xf numFmtId="0" fontId="6" fillId="4" borderId="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000%20-%20PASTAS%20INDIVIDUAIS/00%20-%20MARCUS/03%20-%20ESTUDOS/151%20-%20PLANILHA%20DE%20ESTIMATIVA%20DE%20CARGAS/08%20-%20ESTIMATIVA%20DE%20CARGAS%20LSG_CKO_MOB%20240921%20A.xlsx" TargetMode="External"/><Relationship Id="rId1" Type="http://schemas.openxmlformats.org/officeDocument/2006/relationships/externalLinkPath" Target="/000%20-%20PASTAS%20INDIVIDUAIS/00%20-%20MARCUS/03%20-%20ESTUDOS/151%20-%20PLANILHA%20DE%20ESTIMATIVA%20DE%20CARGAS/08%20-%20ESTIMATIVA%20DE%20CARGAS%20LSG_CKO_MOB%20240921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stimativa"/>
      <sheetName val="Fatores de Ajuste"/>
      <sheetName val="Validações"/>
    </sheetNames>
    <sheetDataSet>
      <sheetData sheetId="0"/>
      <sheetData sheetId="1">
        <row r="6">
          <cell r="B6">
            <v>1.1000000000000001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T39"/>
  <sheetViews>
    <sheetView showGridLines="0" tabSelected="1" topLeftCell="C1" zoomScale="84" zoomScaleNormal="84" workbookViewId="0">
      <selection activeCell="Q12" sqref="Q12"/>
    </sheetView>
  </sheetViews>
  <sheetFormatPr defaultRowHeight="15.75" x14ac:dyDescent="0.25"/>
  <cols>
    <col min="1" max="1" width="3.28515625" style="1" customWidth="1"/>
    <col min="2" max="2" width="16.5703125" bestFit="1" customWidth="1"/>
    <col min="3" max="3" width="34.28515625" bestFit="1" customWidth="1"/>
    <col min="4" max="4" width="12.5703125" customWidth="1"/>
    <col min="5" max="5" width="13.28515625" customWidth="1"/>
    <col min="6" max="6" width="13.5703125" customWidth="1"/>
    <col min="7" max="7" width="3.140625" customWidth="1"/>
    <col min="8" max="8" width="16.5703125" bestFit="1" customWidth="1"/>
    <col min="9" max="9" width="25" bestFit="1" customWidth="1"/>
    <col min="10" max="10" width="13" customWidth="1"/>
    <col min="11" max="11" width="10" bestFit="1" customWidth="1"/>
    <col min="12" max="12" width="11" bestFit="1" customWidth="1"/>
    <col min="13" max="13" width="2.5703125" customWidth="1"/>
    <col min="14" max="14" width="21.42578125" style="51" customWidth="1"/>
    <col min="16" max="16" width="12.7109375" bestFit="1" customWidth="1"/>
    <col min="17" max="17" width="51" style="16" bestFit="1" customWidth="1"/>
    <col min="18" max="18" width="14.5703125" customWidth="1"/>
    <col min="20" max="20" width="14.5703125" customWidth="1"/>
  </cols>
  <sheetData>
    <row r="1" spans="2:20" x14ac:dyDescent="0.25">
      <c r="R1" t="s">
        <v>75</v>
      </c>
      <c r="T1" s="55" t="s">
        <v>76</v>
      </c>
    </row>
    <row r="2" spans="2:20" ht="21" x14ac:dyDescent="0.35">
      <c r="C2" s="2" t="s">
        <v>12</v>
      </c>
      <c r="D2" s="2" t="s">
        <v>3</v>
      </c>
      <c r="E2" s="2" t="s">
        <v>4</v>
      </c>
      <c r="F2" s="2" t="s">
        <v>5</v>
      </c>
      <c r="I2" s="2" t="s">
        <v>12</v>
      </c>
      <c r="J2" s="2" t="s">
        <v>3</v>
      </c>
      <c r="K2" s="2" t="s">
        <v>4</v>
      </c>
      <c r="L2" s="2" t="s">
        <v>5</v>
      </c>
      <c r="Q2" s="42" t="s">
        <v>39</v>
      </c>
      <c r="R2" s="43">
        <f>F19+F28+L6+L18+L39</f>
        <v>0</v>
      </c>
      <c r="T2" s="43">
        <f>R2</f>
        <v>0</v>
      </c>
    </row>
    <row r="3" spans="2:20" ht="21" x14ac:dyDescent="0.35">
      <c r="B3" s="56" t="s">
        <v>15</v>
      </c>
      <c r="C3" s="13" t="s">
        <v>7</v>
      </c>
      <c r="D3" s="9"/>
      <c r="E3" s="10">
        <v>1092</v>
      </c>
      <c r="F3" s="11">
        <f>(D3/E3)</f>
        <v>0</v>
      </c>
      <c r="H3" s="56" t="s">
        <v>17</v>
      </c>
      <c r="I3" s="15" t="s">
        <v>1</v>
      </c>
      <c r="J3" s="3"/>
      <c r="K3" s="5">
        <v>10</v>
      </c>
      <c r="L3" s="6">
        <f>J3/K3</f>
        <v>0</v>
      </c>
      <c r="Q3" s="44" t="s">
        <v>59</v>
      </c>
      <c r="R3" s="45">
        <f>R2*12/60</f>
        <v>0</v>
      </c>
      <c r="T3" s="45">
        <f>T2*12/45</f>
        <v>0</v>
      </c>
    </row>
    <row r="4" spans="2:20" ht="21" x14ac:dyDescent="0.35">
      <c r="B4" s="57"/>
      <c r="C4" s="14" t="s">
        <v>18</v>
      </c>
      <c r="D4" s="7"/>
      <c r="E4" s="8">
        <v>124</v>
      </c>
      <c r="F4" s="12">
        <f t="shared" ref="F4:F16" si="0">(D4/E4)</f>
        <v>0</v>
      </c>
      <c r="H4" s="57"/>
      <c r="I4" s="15" t="s">
        <v>2</v>
      </c>
      <c r="J4" s="5"/>
      <c r="K4" s="5"/>
      <c r="L4" s="3"/>
      <c r="Q4" s="46" t="s">
        <v>60</v>
      </c>
      <c r="R4" s="47">
        <f>R3*110%</f>
        <v>0</v>
      </c>
      <c r="T4" s="47">
        <f>T3*110%</f>
        <v>0</v>
      </c>
    </row>
    <row r="5" spans="2:20" ht="21" x14ac:dyDescent="0.35">
      <c r="B5" s="57"/>
      <c r="C5" s="14" t="s">
        <v>19</v>
      </c>
      <c r="D5" s="7"/>
      <c r="E5" s="8">
        <v>300</v>
      </c>
      <c r="F5" s="12">
        <f t="shared" si="0"/>
        <v>0</v>
      </c>
      <c r="H5" s="57"/>
      <c r="I5" s="22" t="s">
        <v>13</v>
      </c>
      <c r="J5" s="23"/>
      <c r="K5" s="24"/>
      <c r="L5" s="25">
        <f>L3+L4</f>
        <v>0</v>
      </c>
      <c r="Q5" s="48" t="s">
        <v>61</v>
      </c>
      <c r="R5" s="49">
        <f>R3*120%</f>
        <v>0</v>
      </c>
      <c r="T5" s="49">
        <f>T3*120%</f>
        <v>0</v>
      </c>
    </row>
    <row r="6" spans="2:20" x14ac:dyDescent="0.25">
      <c r="B6" s="57"/>
      <c r="C6" s="14" t="s">
        <v>6</v>
      </c>
      <c r="D6" s="7"/>
      <c r="E6" s="8">
        <f>120/5</f>
        <v>24</v>
      </c>
      <c r="F6" s="12">
        <f t="shared" si="0"/>
        <v>0</v>
      </c>
      <c r="H6" s="58"/>
      <c r="I6" s="26" t="s">
        <v>14</v>
      </c>
      <c r="J6" s="27"/>
      <c r="K6" s="28"/>
      <c r="L6" s="29">
        <f>L5*'Fatores de Ajuste'!$B$4</f>
        <v>0</v>
      </c>
    </row>
    <row r="7" spans="2:20" x14ac:dyDescent="0.25">
      <c r="B7" s="57"/>
      <c r="C7" s="14" t="s">
        <v>31</v>
      </c>
      <c r="D7" s="7"/>
      <c r="E7" s="8">
        <f>120</f>
        <v>120</v>
      </c>
      <c r="F7" s="12">
        <f t="shared" ref="F7:F8" si="1">(D7/E7)</f>
        <v>0</v>
      </c>
    </row>
    <row r="8" spans="2:20" x14ac:dyDescent="0.25">
      <c r="B8" s="57"/>
      <c r="C8" s="14" t="s">
        <v>32</v>
      </c>
      <c r="D8" s="7"/>
      <c r="E8" s="8">
        <v>500</v>
      </c>
      <c r="F8" s="12">
        <f t="shared" si="1"/>
        <v>0</v>
      </c>
      <c r="I8" s="2" t="s">
        <v>12</v>
      </c>
      <c r="J8" s="2" t="s">
        <v>3</v>
      </c>
      <c r="K8" s="2" t="s">
        <v>4</v>
      </c>
      <c r="L8" s="2" t="s">
        <v>5</v>
      </c>
      <c r="T8">
        <f>T5/12</f>
        <v>0</v>
      </c>
    </row>
    <row r="9" spans="2:20" x14ac:dyDescent="0.25">
      <c r="B9" s="57"/>
      <c r="C9" s="14" t="s">
        <v>8</v>
      </c>
      <c r="D9" s="7"/>
      <c r="E9" s="8">
        <v>820</v>
      </c>
      <c r="F9" s="12">
        <f t="shared" si="0"/>
        <v>0</v>
      </c>
      <c r="H9" s="56" t="s">
        <v>11</v>
      </c>
      <c r="I9" s="4" t="s">
        <v>69</v>
      </c>
      <c r="J9" s="3"/>
      <c r="K9" s="5">
        <v>0.5254988913525499</v>
      </c>
      <c r="L9" s="6">
        <f>J9/K9</f>
        <v>0</v>
      </c>
      <c r="N9" s="53"/>
      <c r="O9" s="54"/>
    </row>
    <row r="10" spans="2:20" x14ac:dyDescent="0.25">
      <c r="B10" s="57"/>
      <c r="C10" s="14" t="s">
        <v>29</v>
      </c>
      <c r="D10" s="7"/>
      <c r="E10" s="8">
        <v>120</v>
      </c>
      <c r="F10" s="12">
        <f t="shared" si="0"/>
        <v>0</v>
      </c>
      <c r="H10" s="57"/>
      <c r="I10" s="4" t="s">
        <v>70</v>
      </c>
      <c r="J10" s="3"/>
      <c r="K10" s="5">
        <v>0.46711012564671106</v>
      </c>
      <c r="L10" s="6">
        <f t="shared" ref="L10:L14" si="2">J10/K10</f>
        <v>0</v>
      </c>
      <c r="N10" s="53"/>
    </row>
    <row r="11" spans="2:20" x14ac:dyDescent="0.25">
      <c r="B11" s="57"/>
      <c r="C11" s="14" t="s">
        <v>40</v>
      </c>
      <c r="D11" s="7"/>
      <c r="E11" s="8">
        <v>70</v>
      </c>
      <c r="F11" s="12">
        <f t="shared" ref="F11:F12" si="3">(D11/E11)</f>
        <v>0</v>
      </c>
      <c r="H11" s="57"/>
      <c r="I11" s="4" t="s">
        <v>71</v>
      </c>
      <c r="J11" s="3"/>
      <c r="K11" s="5">
        <v>0.40872135994087216</v>
      </c>
      <c r="L11" s="6">
        <f t="shared" si="2"/>
        <v>0</v>
      </c>
      <c r="N11" s="53"/>
    </row>
    <row r="12" spans="2:20" x14ac:dyDescent="0.25">
      <c r="B12" s="57"/>
      <c r="C12" s="14" t="s">
        <v>41</v>
      </c>
      <c r="D12" s="7"/>
      <c r="E12" s="8">
        <v>35</v>
      </c>
      <c r="F12" s="12">
        <f t="shared" si="3"/>
        <v>0</v>
      </c>
      <c r="H12" s="57"/>
      <c r="I12" s="4" t="s">
        <v>72</v>
      </c>
      <c r="J12" s="3"/>
      <c r="K12" s="5">
        <v>0.37076866223207688</v>
      </c>
      <c r="L12" s="6">
        <f t="shared" si="2"/>
        <v>0</v>
      </c>
      <c r="N12" s="53"/>
    </row>
    <row r="13" spans="2:20" x14ac:dyDescent="0.25">
      <c r="B13" s="57"/>
      <c r="C13" s="14" t="s">
        <v>42</v>
      </c>
      <c r="D13" s="7"/>
      <c r="E13" s="8">
        <v>5</v>
      </c>
      <c r="F13" s="12">
        <f t="shared" si="0"/>
        <v>0</v>
      </c>
      <c r="H13" s="58"/>
      <c r="I13" s="4" t="s">
        <v>73</v>
      </c>
      <c r="J13" s="3"/>
      <c r="K13" s="5">
        <v>0.32989652623798971</v>
      </c>
      <c r="L13" s="6">
        <f t="shared" si="2"/>
        <v>0</v>
      </c>
      <c r="N13" s="53"/>
    </row>
    <row r="14" spans="2:20" x14ac:dyDescent="0.25">
      <c r="B14" s="57"/>
      <c r="C14" s="14" t="s">
        <v>9</v>
      </c>
      <c r="D14" s="7"/>
      <c r="E14" s="8">
        <v>8</v>
      </c>
      <c r="F14" s="12">
        <f t="shared" si="0"/>
        <v>0</v>
      </c>
      <c r="H14" s="16"/>
      <c r="I14" s="4" t="s">
        <v>74</v>
      </c>
      <c r="J14" s="3"/>
      <c r="K14" s="5">
        <v>0.29194382852919443</v>
      </c>
      <c r="L14" s="6">
        <f t="shared" si="2"/>
        <v>0</v>
      </c>
      <c r="N14" s="53"/>
    </row>
    <row r="15" spans="2:20" x14ac:dyDescent="0.25">
      <c r="B15" s="57"/>
      <c r="C15" s="14" t="s">
        <v>28</v>
      </c>
      <c r="D15" s="7"/>
      <c r="E15" s="8">
        <v>1400</v>
      </c>
      <c r="F15" s="12">
        <f t="shared" si="0"/>
        <v>0</v>
      </c>
      <c r="I15" s="4" t="s">
        <v>43</v>
      </c>
      <c r="J15" s="3"/>
      <c r="K15" s="5">
        <v>0.25</v>
      </c>
      <c r="L15" s="12">
        <f t="shared" ref="L15" si="4">(J15/K15)</f>
        <v>0</v>
      </c>
    </row>
    <row r="16" spans="2:20" x14ac:dyDescent="0.25">
      <c r="B16" s="57"/>
      <c r="C16" s="14" t="s">
        <v>10</v>
      </c>
      <c r="D16" s="7"/>
      <c r="E16" s="8">
        <v>220</v>
      </c>
      <c r="F16" s="12">
        <f t="shared" si="0"/>
        <v>0</v>
      </c>
      <c r="I16" s="15" t="s">
        <v>2</v>
      </c>
      <c r="J16" s="5"/>
      <c r="K16" s="5"/>
      <c r="L16" s="3"/>
    </row>
    <row r="17" spans="2:16" x14ac:dyDescent="0.25">
      <c r="B17" s="57"/>
      <c r="C17" s="14" t="s">
        <v>2</v>
      </c>
      <c r="D17" s="8"/>
      <c r="E17" s="8"/>
      <c r="F17" s="21"/>
      <c r="I17" s="22" t="s">
        <v>13</v>
      </c>
      <c r="J17" s="23"/>
      <c r="K17" s="24"/>
      <c r="L17" s="25">
        <f>L9+L10+L11+L12+L13+L14+L15+L16</f>
        <v>0</v>
      </c>
    </row>
    <row r="18" spans="2:16" x14ac:dyDescent="0.25">
      <c r="B18" s="57"/>
      <c r="C18" s="22" t="s">
        <v>13</v>
      </c>
      <c r="D18" s="23"/>
      <c r="E18" s="24"/>
      <c r="F18" s="25">
        <f>SUM(F3:F17)</f>
        <v>0</v>
      </c>
      <c r="I18" s="26" t="s">
        <v>14</v>
      </c>
      <c r="J18" s="27"/>
      <c r="K18" s="28"/>
      <c r="L18" s="29">
        <f>L17*'Fatores de Ajuste'!$B$5</f>
        <v>0</v>
      </c>
    </row>
    <row r="19" spans="2:16" x14ac:dyDescent="0.25">
      <c r="B19" s="58"/>
      <c r="C19" s="26" t="s">
        <v>14</v>
      </c>
      <c r="D19" s="27"/>
      <c r="E19" s="28"/>
      <c r="F19" s="29">
        <f>F18*'Fatores de Ajuste'!$B$2</f>
        <v>0</v>
      </c>
    </row>
    <row r="20" spans="2:16" x14ac:dyDescent="0.25">
      <c r="B20" s="16"/>
      <c r="D20" s="1"/>
    </row>
    <row r="21" spans="2:16" x14ac:dyDescent="0.25">
      <c r="C21" s="2" t="s">
        <v>12</v>
      </c>
      <c r="D21" s="2" t="s">
        <v>3</v>
      </c>
      <c r="E21" s="2" t="s">
        <v>4</v>
      </c>
      <c r="F21" s="2" t="s">
        <v>5</v>
      </c>
      <c r="I21" s="2" t="s">
        <v>12</v>
      </c>
      <c r="J21" s="2" t="s">
        <v>3</v>
      </c>
      <c r="K21" s="2" t="s">
        <v>4</v>
      </c>
      <c r="L21" s="2" t="s">
        <v>5</v>
      </c>
      <c r="N21" s="2" t="s">
        <v>63</v>
      </c>
    </row>
    <row r="22" spans="2:16" x14ac:dyDescent="0.25">
      <c r="B22" s="56" t="s">
        <v>16</v>
      </c>
      <c r="C22" s="13" t="s">
        <v>23</v>
      </c>
      <c r="D22" s="9"/>
      <c r="E22" s="10">
        <v>0.42</v>
      </c>
      <c r="F22" s="11">
        <f>D22/E22</f>
        <v>0</v>
      </c>
      <c r="H22" s="56" t="s">
        <v>52</v>
      </c>
      <c r="I22" s="14" t="s">
        <v>44</v>
      </c>
      <c r="J22" s="7"/>
      <c r="K22" s="8">
        <v>23</v>
      </c>
      <c r="L22" s="12">
        <f>(J22/K22)</f>
        <v>0</v>
      </c>
      <c r="N22" s="52" t="s">
        <v>65</v>
      </c>
      <c r="O22" s="1"/>
    </row>
    <row r="23" spans="2:16" x14ac:dyDescent="0.25">
      <c r="B23" s="57"/>
      <c r="C23" s="14" t="s">
        <v>38</v>
      </c>
      <c r="D23" s="7"/>
      <c r="E23" s="8">
        <v>1</v>
      </c>
      <c r="F23" s="12">
        <f>D23/E23</f>
        <v>0</v>
      </c>
      <c r="H23" s="57"/>
      <c r="I23" s="14" t="s">
        <v>45</v>
      </c>
      <c r="J23" s="7"/>
      <c r="K23" s="8">
        <v>150</v>
      </c>
      <c r="L23" s="12">
        <f t="shared" ref="L23:L36" si="5">(J23/K23)</f>
        <v>0</v>
      </c>
    </row>
    <row r="24" spans="2:16" x14ac:dyDescent="0.25">
      <c r="B24" s="57"/>
      <c r="C24" s="14" t="s">
        <v>67</v>
      </c>
      <c r="D24" s="7"/>
      <c r="E24" s="8">
        <v>70</v>
      </c>
      <c r="F24" s="12">
        <f t="shared" ref="F24" si="6">D24/E24</f>
        <v>0</v>
      </c>
      <c r="H24" s="57"/>
      <c r="I24" s="14" t="s">
        <v>46</v>
      </c>
      <c r="J24" s="7"/>
      <c r="K24" s="38">
        <f>6.73*VLOOKUP($N$22,'Fatores de Ajuste'!$A$8:$B$9,2,0)</f>
        <v>6.73</v>
      </c>
      <c r="L24" s="12">
        <f t="shared" si="5"/>
        <v>0</v>
      </c>
      <c r="P24" s="50"/>
    </row>
    <row r="25" spans="2:16" x14ac:dyDescent="0.25">
      <c r="B25" s="57"/>
      <c r="C25" s="14" t="s">
        <v>68</v>
      </c>
      <c r="D25" s="7"/>
      <c r="E25" s="8">
        <v>3</v>
      </c>
      <c r="F25" s="12">
        <f t="shared" ref="F25" si="7">D25/E25</f>
        <v>0</v>
      </c>
      <c r="H25" s="57"/>
      <c r="I25" s="14" t="s">
        <v>47</v>
      </c>
      <c r="J25" s="7"/>
      <c r="K25" s="38">
        <f>3.46*VLOOKUP($N$22,'Fatores de Ajuste'!$A$8:$B$9,2,0)</f>
        <v>3.46</v>
      </c>
      <c r="L25" s="12">
        <f t="shared" si="5"/>
        <v>0</v>
      </c>
      <c r="P25" s="50"/>
    </row>
    <row r="26" spans="2:16" x14ac:dyDescent="0.25">
      <c r="B26" s="57"/>
      <c r="C26" s="14" t="s">
        <v>2</v>
      </c>
      <c r="D26" s="8"/>
      <c r="E26" s="8"/>
      <c r="F26" s="21"/>
      <c r="H26" s="57"/>
      <c r="I26" s="14" t="s">
        <v>48</v>
      </c>
      <c r="J26" s="7"/>
      <c r="K26" s="38">
        <f>2.39*VLOOKUP($N$22,'Fatores de Ajuste'!$A$8:$B$9,2,0)</f>
        <v>2.39</v>
      </c>
      <c r="L26" s="12">
        <f t="shared" si="5"/>
        <v>0</v>
      </c>
      <c r="P26" s="50"/>
    </row>
    <row r="27" spans="2:16" x14ac:dyDescent="0.25">
      <c r="B27" s="57"/>
      <c r="C27" s="22" t="s">
        <v>13</v>
      </c>
      <c r="D27" s="23"/>
      <c r="E27" s="24"/>
      <c r="F27" s="25">
        <f>F22+F23+F25+F26+F24</f>
        <v>0</v>
      </c>
      <c r="H27" s="57"/>
      <c r="I27" s="14" t="s">
        <v>49</v>
      </c>
      <c r="J27" s="7"/>
      <c r="K27" s="38">
        <f>1.77*VLOOKUP($N$22,'Fatores de Ajuste'!$A$8:$B$9,2,0)</f>
        <v>1.77</v>
      </c>
      <c r="L27" s="12">
        <f t="shared" si="5"/>
        <v>0</v>
      </c>
      <c r="P27" s="50"/>
    </row>
    <row r="28" spans="2:16" x14ac:dyDescent="0.25">
      <c r="B28" s="58"/>
      <c r="C28" s="26" t="s">
        <v>14</v>
      </c>
      <c r="D28" s="27"/>
      <c r="E28" s="28"/>
      <c r="F28" s="29">
        <f>F27*'Fatores de Ajuste'!$B$3</f>
        <v>0</v>
      </c>
      <c r="H28" s="57"/>
      <c r="I28" s="14" t="s">
        <v>50</v>
      </c>
      <c r="J28" s="7"/>
      <c r="K28" s="38">
        <f>1.19*VLOOKUP($N$22,'Fatores de Ajuste'!$A$8:$B$9,2,0)</f>
        <v>1.19</v>
      </c>
      <c r="L28" s="12">
        <f t="shared" si="5"/>
        <v>0</v>
      </c>
      <c r="P28" s="50"/>
    </row>
    <row r="29" spans="2:16" x14ac:dyDescent="0.25">
      <c r="H29" s="57"/>
      <c r="I29" s="14" t="s">
        <v>51</v>
      </c>
      <c r="J29" s="7"/>
      <c r="K29" s="38">
        <f>0.9*VLOOKUP($N$22,'Fatores de Ajuste'!$A$8:$B$9,2,0)</f>
        <v>0.9</v>
      </c>
      <c r="L29" s="12">
        <f t="shared" si="5"/>
        <v>0</v>
      </c>
      <c r="P29" s="50"/>
    </row>
    <row r="30" spans="2:16" x14ac:dyDescent="0.25">
      <c r="H30" s="57"/>
      <c r="I30" s="14" t="s">
        <v>62</v>
      </c>
      <c r="J30" s="7"/>
      <c r="K30" s="38">
        <f>0.81*VLOOKUP($N$22,'Fatores de Ajuste'!$A$8:$B$9,2,0)</f>
        <v>0.81</v>
      </c>
      <c r="L30" s="12">
        <f t="shared" si="5"/>
        <v>0</v>
      </c>
      <c r="P30" s="50"/>
    </row>
    <row r="31" spans="2:16" x14ac:dyDescent="0.25">
      <c r="H31" s="57"/>
      <c r="I31" s="14" t="s">
        <v>53</v>
      </c>
      <c r="J31" s="7"/>
      <c r="K31" s="38">
        <f>0.72*VLOOKUP($N$22,'Fatores de Ajuste'!$A$8:$B$9,2,0)</f>
        <v>0.72</v>
      </c>
      <c r="L31" s="12">
        <f t="shared" si="5"/>
        <v>0</v>
      </c>
      <c r="P31" s="50"/>
    </row>
    <row r="32" spans="2:16" x14ac:dyDescent="0.25">
      <c r="H32" s="57"/>
      <c r="I32" s="14" t="s">
        <v>54</v>
      </c>
      <c r="J32" s="7"/>
      <c r="K32" s="38">
        <f>0.6*VLOOKUP($N$22,'Fatores de Ajuste'!$A$8:$B$9,2,0)</f>
        <v>0.6</v>
      </c>
      <c r="L32" s="12">
        <f t="shared" si="5"/>
        <v>0</v>
      </c>
      <c r="P32" s="50"/>
    </row>
    <row r="33" spans="8:12" x14ac:dyDescent="0.25">
      <c r="H33" s="57"/>
      <c r="I33" s="14" t="s">
        <v>55</v>
      </c>
      <c r="J33" s="7"/>
      <c r="K33" s="8">
        <v>50</v>
      </c>
      <c r="L33" s="12">
        <f t="shared" si="5"/>
        <v>0</v>
      </c>
    </row>
    <row r="34" spans="8:12" x14ac:dyDescent="0.25">
      <c r="H34" s="57"/>
      <c r="I34" s="14" t="s">
        <v>56</v>
      </c>
      <c r="J34" s="7"/>
      <c r="K34" s="8">
        <v>300</v>
      </c>
      <c r="L34" s="12">
        <f t="shared" si="5"/>
        <v>0</v>
      </c>
    </row>
    <row r="35" spans="8:12" x14ac:dyDescent="0.25">
      <c r="H35" s="57"/>
      <c r="I35" s="14" t="s">
        <v>57</v>
      </c>
      <c r="J35" s="7"/>
      <c r="K35" s="8">
        <v>33</v>
      </c>
      <c r="L35" s="12">
        <f t="shared" si="5"/>
        <v>0</v>
      </c>
    </row>
    <row r="36" spans="8:12" x14ac:dyDescent="0.25">
      <c r="H36" s="57"/>
      <c r="I36" s="14" t="s">
        <v>58</v>
      </c>
      <c r="J36" s="7"/>
      <c r="K36" s="8">
        <v>80</v>
      </c>
      <c r="L36" s="12">
        <f t="shared" si="5"/>
        <v>0</v>
      </c>
    </row>
    <row r="37" spans="8:12" x14ac:dyDescent="0.25">
      <c r="H37" s="57"/>
      <c r="I37" s="39" t="s">
        <v>2</v>
      </c>
      <c r="J37" s="40"/>
      <c r="K37" s="40"/>
      <c r="L37" s="41"/>
    </row>
    <row r="38" spans="8:12" x14ac:dyDescent="0.25">
      <c r="H38" s="57"/>
      <c r="I38" s="34" t="s">
        <v>13</v>
      </c>
      <c r="J38" s="35"/>
      <c r="K38" s="36"/>
      <c r="L38" s="37">
        <f>SUM(L22:L37)</f>
        <v>0</v>
      </c>
    </row>
    <row r="39" spans="8:12" x14ac:dyDescent="0.25">
      <c r="H39" s="58"/>
      <c r="I39" s="26" t="s">
        <v>14</v>
      </c>
      <c r="J39" s="27"/>
      <c r="K39" s="28"/>
      <c r="L39" s="29">
        <f>L38*'[1]Fatores de Ajuste'!$B$6</f>
        <v>0</v>
      </c>
    </row>
  </sheetData>
  <mergeCells count="5">
    <mergeCell ref="H3:H6"/>
    <mergeCell ref="B3:B19"/>
    <mergeCell ref="B22:B28"/>
    <mergeCell ref="H9:H13"/>
    <mergeCell ref="H22:H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B9"/>
  <sheetViews>
    <sheetView workbookViewId="0">
      <selection activeCell="A10" sqref="A10"/>
    </sheetView>
  </sheetViews>
  <sheetFormatPr defaultRowHeight="15" x14ac:dyDescent="0.25"/>
  <cols>
    <col min="1" max="1" width="36" customWidth="1"/>
  </cols>
  <sheetData>
    <row r="1" spans="1:2" x14ac:dyDescent="0.25">
      <c r="A1" t="s">
        <v>22</v>
      </c>
    </row>
    <row r="2" spans="1:2" x14ac:dyDescent="0.25">
      <c r="A2" t="s">
        <v>20</v>
      </c>
      <c r="B2" s="30">
        <v>1.4</v>
      </c>
    </row>
    <row r="3" spans="1:2" x14ac:dyDescent="0.25">
      <c r="A3" t="s">
        <v>21</v>
      </c>
      <c r="B3" s="30">
        <v>1.2</v>
      </c>
    </row>
    <row r="4" spans="1:2" x14ac:dyDescent="0.25">
      <c r="A4" t="s">
        <v>17</v>
      </c>
      <c r="B4" s="30">
        <v>1.2</v>
      </c>
    </row>
    <row r="5" spans="1:2" x14ac:dyDescent="0.25">
      <c r="A5" t="s">
        <v>11</v>
      </c>
      <c r="B5" s="30">
        <v>1</v>
      </c>
    </row>
    <row r="7" spans="1:2" x14ac:dyDescent="0.25">
      <c r="A7" t="s">
        <v>64</v>
      </c>
    </row>
    <row r="8" spans="1:2" x14ac:dyDescent="0.25">
      <c r="A8" t="s">
        <v>65</v>
      </c>
      <c r="B8" s="30">
        <v>1</v>
      </c>
    </row>
    <row r="9" spans="1:2" x14ac:dyDescent="0.25">
      <c r="A9" t="s">
        <v>66</v>
      </c>
      <c r="B9" s="30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B1:R29"/>
  <sheetViews>
    <sheetView workbookViewId="0">
      <selection activeCell="B1" sqref="B1"/>
    </sheetView>
  </sheetViews>
  <sheetFormatPr defaultRowHeight="15" x14ac:dyDescent="0.25"/>
  <cols>
    <col min="3" max="3" width="27" bestFit="1" customWidth="1"/>
    <col min="8" max="8" width="12.7109375" bestFit="1" customWidth="1"/>
    <col min="9" max="9" width="28.85546875" bestFit="1" customWidth="1"/>
  </cols>
  <sheetData>
    <row r="1" spans="2:18" x14ac:dyDescent="0.25">
      <c r="B1" t="s">
        <v>25</v>
      </c>
      <c r="C1" t="s">
        <v>26</v>
      </c>
      <c r="D1" t="s">
        <v>27</v>
      </c>
      <c r="E1" s="30">
        <v>1.4</v>
      </c>
      <c r="H1" t="s">
        <v>34</v>
      </c>
      <c r="I1" t="s">
        <v>26</v>
      </c>
      <c r="J1" t="s">
        <v>33</v>
      </c>
      <c r="K1">
        <v>120</v>
      </c>
      <c r="N1" t="s">
        <v>36</v>
      </c>
      <c r="O1" t="s">
        <v>26</v>
      </c>
      <c r="P1" t="s">
        <v>37</v>
      </c>
      <c r="Q1">
        <v>140</v>
      </c>
    </row>
    <row r="2" spans="2:18" ht="15.75" x14ac:dyDescent="0.25">
      <c r="B2" s="17"/>
      <c r="C2" s="2" t="s">
        <v>12</v>
      </c>
      <c r="D2" s="2" t="s">
        <v>3</v>
      </c>
      <c r="E2" s="2" t="s">
        <v>4</v>
      </c>
      <c r="F2" s="2" t="s">
        <v>5</v>
      </c>
      <c r="H2" s="17"/>
      <c r="I2" s="2" t="s">
        <v>12</v>
      </c>
      <c r="J2" s="2" t="s">
        <v>3</v>
      </c>
      <c r="K2" s="2" t="s">
        <v>4</v>
      </c>
      <c r="L2" s="2" t="s">
        <v>5</v>
      </c>
      <c r="N2" s="17"/>
      <c r="O2" s="2" t="s">
        <v>12</v>
      </c>
      <c r="P2" s="2" t="s">
        <v>3</v>
      </c>
      <c r="Q2" s="2" t="s">
        <v>4</v>
      </c>
      <c r="R2" s="2" t="s">
        <v>5</v>
      </c>
    </row>
    <row r="3" spans="2:18" ht="15.75" x14ac:dyDescent="0.25">
      <c r="B3" s="18"/>
      <c r="C3" s="13" t="s">
        <v>7</v>
      </c>
      <c r="D3" s="9">
        <v>1507</v>
      </c>
      <c r="E3" s="10">
        <v>1092</v>
      </c>
      <c r="F3" s="11">
        <f>(D3/E3)</f>
        <v>1.38003663003663</v>
      </c>
      <c r="H3" s="32"/>
      <c r="I3" s="13" t="s">
        <v>7</v>
      </c>
      <c r="J3" s="9">
        <v>945</v>
      </c>
      <c r="K3" s="10">
        <v>1092</v>
      </c>
      <c r="L3" s="11">
        <f>(J3/K3)</f>
        <v>0.86538461538461542</v>
      </c>
      <c r="N3" s="18"/>
      <c r="O3" s="13" t="s">
        <v>7</v>
      </c>
      <c r="P3" s="9"/>
      <c r="Q3" s="10">
        <v>1092</v>
      </c>
      <c r="R3" s="11">
        <f>(P3/Q3)</f>
        <v>0</v>
      </c>
    </row>
    <row r="4" spans="2:18" ht="15.75" x14ac:dyDescent="0.25">
      <c r="B4" s="18"/>
      <c r="C4" s="14" t="s">
        <v>18</v>
      </c>
      <c r="D4" s="7">
        <v>657</v>
      </c>
      <c r="E4" s="8">
        <v>124</v>
      </c>
      <c r="F4" s="12">
        <f t="shared" ref="F4:F15" si="0">(D4/E4)</f>
        <v>5.2983870967741939</v>
      </c>
      <c r="H4" s="18"/>
      <c r="I4" s="14" t="s">
        <v>18</v>
      </c>
      <c r="J4" s="7">
        <v>196</v>
      </c>
      <c r="K4" s="8">
        <v>124</v>
      </c>
      <c r="L4" s="12">
        <f t="shared" ref="L4:L15" si="1">(J4/K4)</f>
        <v>1.5806451612903225</v>
      </c>
      <c r="N4" s="18"/>
      <c r="O4" s="14" t="s">
        <v>18</v>
      </c>
      <c r="P4" s="7">
        <v>461</v>
      </c>
      <c r="Q4" s="8">
        <v>124</v>
      </c>
      <c r="R4" s="12">
        <f t="shared" ref="R4:R15" si="2">(P4/Q4)</f>
        <v>3.717741935483871</v>
      </c>
    </row>
    <row r="5" spans="2:18" ht="15.75" x14ac:dyDescent="0.25">
      <c r="B5" s="18"/>
      <c r="C5" s="14" t="s">
        <v>19</v>
      </c>
      <c r="D5" s="7">
        <v>615</v>
      </c>
      <c r="E5" s="8">
        <v>700</v>
      </c>
      <c r="F5" s="12">
        <f t="shared" si="0"/>
        <v>0.87857142857142856</v>
      </c>
      <c r="H5" s="18"/>
      <c r="I5" s="14" t="s">
        <v>19</v>
      </c>
      <c r="J5" s="7">
        <v>392</v>
      </c>
      <c r="K5" s="8">
        <v>700</v>
      </c>
      <c r="L5" s="12">
        <f t="shared" si="1"/>
        <v>0.56000000000000005</v>
      </c>
      <c r="N5" s="18"/>
      <c r="O5" s="14" t="s">
        <v>19</v>
      </c>
      <c r="P5" s="7">
        <v>394</v>
      </c>
      <c r="Q5" s="8">
        <v>700</v>
      </c>
      <c r="R5" s="12">
        <f t="shared" si="2"/>
        <v>0.56285714285714283</v>
      </c>
    </row>
    <row r="6" spans="2:18" ht="15.75" x14ac:dyDescent="0.25">
      <c r="B6" s="18"/>
      <c r="C6" s="14" t="s">
        <v>6</v>
      </c>
      <c r="D6" s="7"/>
      <c r="E6" s="8">
        <f>120/5</f>
        <v>24</v>
      </c>
      <c r="F6" s="12">
        <f t="shared" si="0"/>
        <v>0</v>
      </c>
      <c r="H6" s="18"/>
      <c r="I6" s="14" t="s">
        <v>6</v>
      </c>
      <c r="J6" s="7"/>
      <c r="K6" s="8">
        <f>120/5</f>
        <v>24</v>
      </c>
      <c r="L6" s="12">
        <f t="shared" si="1"/>
        <v>0</v>
      </c>
      <c r="N6" s="18"/>
      <c r="O6" s="14" t="s">
        <v>6</v>
      </c>
      <c r="P6" s="7"/>
      <c r="Q6" s="8">
        <f>120/5</f>
        <v>24</v>
      </c>
      <c r="R6" s="12">
        <f t="shared" si="2"/>
        <v>0</v>
      </c>
    </row>
    <row r="7" spans="2:18" ht="15.75" x14ac:dyDescent="0.25">
      <c r="B7" s="18"/>
      <c r="C7" s="14" t="s">
        <v>31</v>
      </c>
      <c r="D7" s="7">
        <v>1022</v>
      </c>
      <c r="E7" s="8">
        <f>120</f>
        <v>120</v>
      </c>
      <c r="F7" s="12">
        <f t="shared" si="0"/>
        <v>8.5166666666666675</v>
      </c>
      <c r="H7" s="18"/>
      <c r="I7" s="14" t="s">
        <v>31</v>
      </c>
      <c r="J7" s="7">
        <v>2010</v>
      </c>
      <c r="K7" s="8">
        <f>120</f>
        <v>120</v>
      </c>
      <c r="L7" s="12">
        <f t="shared" si="1"/>
        <v>16.75</v>
      </c>
      <c r="N7" s="18"/>
      <c r="O7" s="14" t="s">
        <v>31</v>
      </c>
      <c r="P7" s="7">
        <v>2083</v>
      </c>
      <c r="Q7" s="8">
        <f>120</f>
        <v>120</v>
      </c>
      <c r="R7" s="12">
        <f t="shared" si="2"/>
        <v>17.358333333333334</v>
      </c>
    </row>
    <row r="8" spans="2:18" ht="15.75" x14ac:dyDescent="0.25">
      <c r="B8" s="18"/>
      <c r="C8" s="14" t="s">
        <v>32</v>
      </c>
      <c r="D8" s="7">
        <v>1850</v>
      </c>
      <c r="E8" s="8"/>
      <c r="F8" s="12"/>
      <c r="H8" s="33"/>
      <c r="I8" s="14" t="s">
        <v>32</v>
      </c>
      <c r="J8" s="7"/>
      <c r="K8" s="8">
        <v>500</v>
      </c>
      <c r="L8" s="12">
        <f t="shared" si="1"/>
        <v>0</v>
      </c>
      <c r="N8" s="18"/>
      <c r="O8" s="14" t="s">
        <v>32</v>
      </c>
      <c r="P8" s="7"/>
      <c r="Q8" s="8">
        <v>500</v>
      </c>
      <c r="R8" s="12">
        <f t="shared" si="2"/>
        <v>0</v>
      </c>
    </row>
    <row r="9" spans="2:18" ht="15.75" x14ac:dyDescent="0.25">
      <c r="B9" s="18"/>
      <c r="C9" s="14" t="s">
        <v>8</v>
      </c>
      <c r="D9" s="7">
        <v>4937</v>
      </c>
      <c r="E9" s="8">
        <v>820</v>
      </c>
      <c r="F9" s="12">
        <f t="shared" si="0"/>
        <v>6.020731707317073</v>
      </c>
      <c r="H9" s="18"/>
      <c r="I9" s="14" t="s">
        <v>8</v>
      </c>
      <c r="J9" s="7">
        <v>2312</v>
      </c>
      <c r="K9" s="8">
        <v>820</v>
      </c>
      <c r="L9" s="12">
        <f t="shared" si="1"/>
        <v>2.8195121951219511</v>
      </c>
      <c r="N9" s="18"/>
      <c r="O9" s="14" t="s">
        <v>8</v>
      </c>
      <c r="P9" s="7">
        <v>1432</v>
      </c>
      <c r="Q9" s="8">
        <v>820</v>
      </c>
      <c r="R9" s="12">
        <f t="shared" si="2"/>
        <v>1.7463414634146341</v>
      </c>
    </row>
    <row r="10" spans="2:18" ht="15.75" x14ac:dyDescent="0.25">
      <c r="B10" s="18" t="s">
        <v>15</v>
      </c>
      <c r="C10" s="14" t="s">
        <v>29</v>
      </c>
      <c r="D10" s="7">
        <v>947</v>
      </c>
      <c r="E10" s="8">
        <v>120</v>
      </c>
      <c r="F10" s="12">
        <f t="shared" si="0"/>
        <v>7.8916666666666666</v>
      </c>
      <c r="H10" s="18" t="s">
        <v>15</v>
      </c>
      <c r="I10" s="14" t="s">
        <v>29</v>
      </c>
      <c r="J10" s="7">
        <v>6755</v>
      </c>
      <c r="K10" s="8">
        <v>120</v>
      </c>
      <c r="L10" s="12">
        <f t="shared" si="1"/>
        <v>56.291666666666664</v>
      </c>
      <c r="N10" s="18" t="s">
        <v>15</v>
      </c>
      <c r="O10" s="14" t="s">
        <v>29</v>
      </c>
      <c r="P10" s="7">
        <v>1117</v>
      </c>
      <c r="Q10" s="8">
        <v>120</v>
      </c>
      <c r="R10" s="12">
        <f t="shared" si="2"/>
        <v>9.3083333333333336</v>
      </c>
    </row>
    <row r="11" spans="2:18" ht="15.75" x14ac:dyDescent="0.25">
      <c r="B11" s="18"/>
      <c r="C11" s="14" t="s">
        <v>30</v>
      </c>
      <c r="D11" s="7">
        <v>4519</v>
      </c>
      <c r="E11" s="8">
        <v>70</v>
      </c>
      <c r="F11" s="12">
        <f t="shared" si="0"/>
        <v>64.557142857142864</v>
      </c>
      <c r="H11" s="18"/>
      <c r="I11" s="14" t="s">
        <v>30</v>
      </c>
      <c r="J11" s="7">
        <v>2802</v>
      </c>
      <c r="K11" s="8">
        <v>70</v>
      </c>
      <c r="L11" s="12">
        <f t="shared" si="1"/>
        <v>40.028571428571432</v>
      </c>
      <c r="N11" s="18"/>
      <c r="O11" s="14" t="s">
        <v>30</v>
      </c>
      <c r="P11" s="7">
        <v>2913</v>
      </c>
      <c r="Q11" s="8">
        <v>70</v>
      </c>
      <c r="R11" s="12">
        <f t="shared" si="2"/>
        <v>41.614285714285714</v>
      </c>
    </row>
    <row r="12" spans="2:18" ht="15.75" x14ac:dyDescent="0.25">
      <c r="B12" s="18"/>
      <c r="C12" s="14" t="s">
        <v>0</v>
      </c>
      <c r="D12" s="7">
        <v>35</v>
      </c>
      <c r="E12" s="8">
        <v>10</v>
      </c>
      <c r="F12" s="12">
        <f t="shared" si="0"/>
        <v>3.5</v>
      </c>
      <c r="H12" s="18"/>
      <c r="I12" s="14" t="s">
        <v>0</v>
      </c>
      <c r="J12" s="7">
        <v>78</v>
      </c>
      <c r="K12" s="8">
        <v>5</v>
      </c>
      <c r="L12" s="12">
        <f t="shared" si="1"/>
        <v>15.6</v>
      </c>
      <c r="N12" s="18"/>
      <c r="O12" s="14" t="s">
        <v>0</v>
      </c>
      <c r="P12" s="7">
        <v>25</v>
      </c>
      <c r="Q12" s="8">
        <v>5</v>
      </c>
      <c r="R12" s="12">
        <f t="shared" si="2"/>
        <v>5</v>
      </c>
    </row>
    <row r="13" spans="2:18" ht="15.75" x14ac:dyDescent="0.25">
      <c r="B13" s="18"/>
      <c r="C13" s="14" t="s">
        <v>9</v>
      </c>
      <c r="D13" s="7">
        <v>54</v>
      </c>
      <c r="E13" s="8">
        <v>8</v>
      </c>
      <c r="F13" s="12">
        <f t="shared" si="0"/>
        <v>6.75</v>
      </c>
      <c r="H13" s="18"/>
      <c r="I13" s="14" t="s">
        <v>9</v>
      </c>
      <c r="J13" s="7"/>
      <c r="K13" s="8">
        <v>8</v>
      </c>
      <c r="L13" s="12">
        <f t="shared" si="1"/>
        <v>0</v>
      </c>
      <c r="N13" s="18"/>
      <c r="O13" s="14" t="s">
        <v>9</v>
      </c>
      <c r="P13" s="7">
        <v>44</v>
      </c>
      <c r="Q13" s="8">
        <v>8</v>
      </c>
      <c r="R13" s="12">
        <f t="shared" si="2"/>
        <v>5.5</v>
      </c>
    </row>
    <row r="14" spans="2:18" ht="15.75" x14ac:dyDescent="0.25">
      <c r="B14" s="18"/>
      <c r="C14" s="14" t="s">
        <v>28</v>
      </c>
      <c r="D14" s="7">
        <v>4427</v>
      </c>
      <c r="E14" s="8">
        <v>1400</v>
      </c>
      <c r="F14" s="12">
        <f t="shared" si="0"/>
        <v>3.1621428571428569</v>
      </c>
      <c r="H14" s="18"/>
      <c r="I14" s="14" t="s">
        <v>28</v>
      </c>
      <c r="J14" s="7">
        <v>3576</v>
      </c>
      <c r="K14" s="8">
        <v>1400</v>
      </c>
      <c r="L14" s="12">
        <f t="shared" si="1"/>
        <v>2.5542857142857143</v>
      </c>
      <c r="N14" s="18"/>
      <c r="O14" s="14" t="s">
        <v>28</v>
      </c>
      <c r="P14" s="7">
        <v>2744</v>
      </c>
      <c r="Q14" s="8">
        <v>1400</v>
      </c>
      <c r="R14" s="12">
        <f t="shared" si="2"/>
        <v>1.96</v>
      </c>
    </row>
    <row r="15" spans="2:18" ht="15.75" x14ac:dyDescent="0.25">
      <c r="B15" s="18"/>
      <c r="C15" s="14" t="s">
        <v>10</v>
      </c>
      <c r="D15" s="7">
        <v>447</v>
      </c>
      <c r="E15" s="8">
        <v>220</v>
      </c>
      <c r="F15" s="12">
        <f t="shared" si="0"/>
        <v>2.0318181818181817</v>
      </c>
      <c r="H15" s="18"/>
      <c r="I15" s="14" t="s">
        <v>10</v>
      </c>
      <c r="J15" s="7">
        <v>246</v>
      </c>
      <c r="K15" s="8">
        <v>220</v>
      </c>
      <c r="L15" s="12">
        <f t="shared" si="1"/>
        <v>1.1181818181818182</v>
      </c>
      <c r="N15" s="18"/>
      <c r="O15" s="14" t="s">
        <v>10</v>
      </c>
      <c r="P15" s="7">
        <v>100</v>
      </c>
      <c r="Q15" s="8">
        <v>220</v>
      </c>
      <c r="R15" s="12">
        <f t="shared" si="2"/>
        <v>0.45454545454545453</v>
      </c>
    </row>
    <row r="16" spans="2:18" ht="15.75" x14ac:dyDescent="0.25">
      <c r="B16" s="18"/>
      <c r="C16" s="14" t="s">
        <v>2</v>
      </c>
      <c r="D16" s="8"/>
      <c r="E16" s="8"/>
      <c r="F16" s="21"/>
      <c r="H16" s="18"/>
      <c r="I16" s="14" t="s">
        <v>2</v>
      </c>
      <c r="J16" s="8"/>
      <c r="K16" s="8"/>
      <c r="L16" s="21"/>
      <c r="N16" s="18"/>
      <c r="O16" s="14" t="s">
        <v>2</v>
      </c>
      <c r="P16" s="8"/>
      <c r="Q16" s="8"/>
      <c r="R16" s="21"/>
    </row>
    <row r="17" spans="2:18" ht="15.75" x14ac:dyDescent="0.25">
      <c r="B17" s="18"/>
      <c r="C17" s="22" t="s">
        <v>13</v>
      </c>
      <c r="D17" s="23"/>
      <c r="E17" s="24"/>
      <c r="F17" s="25">
        <f>SUM(F3:F16)</f>
        <v>109.98716409213655</v>
      </c>
      <c r="H17" s="18"/>
      <c r="I17" s="22" t="s">
        <v>13</v>
      </c>
      <c r="J17" s="23"/>
      <c r="K17" s="24"/>
      <c r="L17" s="25">
        <f>SUM(L3:L16)</f>
        <v>138.16824759950254</v>
      </c>
      <c r="N17" s="18"/>
      <c r="O17" s="22" t="s">
        <v>13</v>
      </c>
      <c r="P17" s="23"/>
      <c r="Q17" s="24"/>
      <c r="R17" s="25">
        <f>SUM(R3:R16)</f>
        <v>87.222438377253468</v>
      </c>
    </row>
    <row r="18" spans="2:18" ht="15.75" x14ac:dyDescent="0.25">
      <c r="B18" s="20"/>
      <c r="C18" s="26" t="s">
        <v>14</v>
      </c>
      <c r="D18" s="27"/>
      <c r="E18" s="28"/>
      <c r="F18" s="29">
        <f>F17*'Fatores de Ajuste'!$B$2</f>
        <v>153.98202972899117</v>
      </c>
      <c r="H18" s="20"/>
      <c r="I18" s="26" t="s">
        <v>14</v>
      </c>
      <c r="J18" s="27"/>
      <c r="K18" s="28"/>
      <c r="L18" s="29">
        <f>L17*'Fatores de Ajuste'!$B$2</f>
        <v>193.43554663930354</v>
      </c>
      <c r="N18" s="20"/>
      <c r="O18" s="26" t="s">
        <v>14</v>
      </c>
      <c r="P18" s="27"/>
      <c r="Q18" s="28"/>
      <c r="R18" s="29">
        <f>R17*'Fatores de Ajuste'!$B$2</f>
        <v>122.11141372815484</v>
      </c>
    </row>
    <row r="19" spans="2:18" ht="15.75" x14ac:dyDescent="0.25">
      <c r="B19" s="16"/>
      <c r="D19" s="1"/>
      <c r="N19" s="16"/>
      <c r="P19" s="1"/>
    </row>
    <row r="20" spans="2:18" ht="15.75" x14ac:dyDescent="0.25">
      <c r="B20" s="17" t="s">
        <v>16</v>
      </c>
      <c r="C20" s="15" t="s">
        <v>23</v>
      </c>
      <c r="D20" s="3"/>
      <c r="E20" s="5">
        <v>0.42</v>
      </c>
      <c r="F20" s="6">
        <f>D20/E20</f>
        <v>0</v>
      </c>
      <c r="N20" s="17" t="s">
        <v>16</v>
      </c>
      <c r="O20" s="13" t="s">
        <v>23</v>
      </c>
      <c r="P20" s="9"/>
      <c r="Q20" s="10">
        <v>0.42</v>
      </c>
      <c r="R20" s="11">
        <f>P20/Q20</f>
        <v>0</v>
      </c>
    </row>
    <row r="21" spans="2:18" ht="15.75" x14ac:dyDescent="0.25">
      <c r="B21" s="31"/>
      <c r="C21" s="15" t="s">
        <v>24</v>
      </c>
      <c r="D21" s="3">
        <v>16</v>
      </c>
      <c r="E21" s="5">
        <v>1</v>
      </c>
      <c r="F21" s="6">
        <f>D21/E21</f>
        <v>16</v>
      </c>
      <c r="N21" s="31"/>
      <c r="O21" s="14" t="s">
        <v>35</v>
      </c>
      <c r="P21" s="7">
        <v>12</v>
      </c>
      <c r="Q21" s="8">
        <v>1</v>
      </c>
      <c r="R21" s="12">
        <f>P21/Q21</f>
        <v>12</v>
      </c>
    </row>
    <row r="22" spans="2:18" ht="15.75" x14ac:dyDescent="0.25">
      <c r="B22" s="19"/>
      <c r="C22" s="15" t="s">
        <v>2</v>
      </c>
      <c r="D22" s="5"/>
      <c r="E22" s="5"/>
      <c r="F22" s="3"/>
      <c r="N22" s="31"/>
      <c r="O22" s="14" t="s">
        <v>2</v>
      </c>
      <c r="P22" s="8"/>
      <c r="Q22" s="8"/>
      <c r="R22" s="21"/>
    </row>
    <row r="23" spans="2:18" ht="15.75" x14ac:dyDescent="0.25">
      <c r="B23" s="18"/>
      <c r="C23" s="22" t="s">
        <v>13</v>
      </c>
      <c r="D23" s="23"/>
      <c r="E23" s="24"/>
      <c r="F23" s="25">
        <f>F20+F21+F22</f>
        <v>16</v>
      </c>
      <c r="N23" s="31"/>
      <c r="O23" s="34" t="s">
        <v>13</v>
      </c>
      <c r="P23" s="35"/>
      <c r="Q23" s="36"/>
      <c r="R23" s="37">
        <f>R20+R21+R22</f>
        <v>12</v>
      </c>
    </row>
    <row r="24" spans="2:18" ht="15.75" x14ac:dyDescent="0.25">
      <c r="B24" s="20"/>
      <c r="C24" s="26" t="s">
        <v>14</v>
      </c>
      <c r="D24" s="27"/>
      <c r="E24" s="28"/>
      <c r="F24" s="29">
        <f>F23*'Fatores de Ajuste'!B3</f>
        <v>19.2</v>
      </c>
      <c r="N24" s="19"/>
      <c r="O24" s="26" t="s">
        <v>14</v>
      </c>
      <c r="P24" s="27"/>
      <c r="Q24" s="28"/>
      <c r="R24" s="29">
        <f>R23*'Fatores de Ajuste'!N3</f>
        <v>0</v>
      </c>
    </row>
    <row r="25" spans="2:18" ht="15.75" x14ac:dyDescent="0.25">
      <c r="N25" s="16"/>
      <c r="P25" s="1"/>
    </row>
    <row r="26" spans="2:18" ht="15.75" x14ac:dyDescent="0.25">
      <c r="N26" s="17" t="s">
        <v>17</v>
      </c>
      <c r="O26" s="15" t="s">
        <v>1</v>
      </c>
      <c r="P26" s="3">
        <v>46</v>
      </c>
      <c r="Q26" s="5">
        <v>10</v>
      </c>
      <c r="R26" s="6">
        <f>P26/Q26</f>
        <v>4.5999999999999996</v>
      </c>
    </row>
    <row r="27" spans="2:18" ht="15.75" x14ac:dyDescent="0.25">
      <c r="N27" s="19"/>
      <c r="O27" s="15" t="s">
        <v>2</v>
      </c>
      <c r="P27" s="5"/>
      <c r="Q27" s="5"/>
      <c r="R27" s="3"/>
    </row>
    <row r="28" spans="2:18" ht="15.75" x14ac:dyDescent="0.25">
      <c r="N28" s="18"/>
      <c r="O28" s="22" t="s">
        <v>13</v>
      </c>
      <c r="P28" s="23"/>
      <c r="Q28" s="24"/>
      <c r="R28" s="25">
        <f>R26+R27</f>
        <v>4.5999999999999996</v>
      </c>
    </row>
    <row r="29" spans="2:18" ht="15.75" x14ac:dyDescent="0.25">
      <c r="N29" s="20"/>
      <c r="O29" s="26" t="s">
        <v>14</v>
      </c>
      <c r="P29" s="27"/>
      <c r="Q29" s="28"/>
      <c r="R29" s="29">
        <f>R28*'Fatores de Ajuste'!N4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Estimativa</vt:lpstr>
      <vt:lpstr>Fatores de Ajuste</vt:lpstr>
      <vt:lpstr>Validações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Vinicius de Carvalho</dc:creator>
  <cp:lastModifiedBy>Julio Cesar Elias da Silva</cp:lastModifiedBy>
  <dcterms:created xsi:type="dcterms:W3CDTF">2015-06-05T18:19:34Z</dcterms:created>
  <dcterms:modified xsi:type="dcterms:W3CDTF">2026-03-20T19:56:15Z</dcterms:modified>
</cp:coreProperties>
</file>